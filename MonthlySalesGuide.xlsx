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dq.DESKTOP-EPHFA89\Desktop\"/>
    </mc:Choice>
  </mc:AlternateContent>
  <xr:revisionPtr revIDLastSave="0" documentId="13_ncr:1_{80ADD751-EBFA-4F9C-A779-119F5021329B}" xr6:coauthVersionLast="47" xr6:coauthVersionMax="47" xr10:uidLastSave="{00000000-0000-0000-0000-000000000000}"/>
  <bookViews>
    <workbookView xWindow="-108" yWindow="-108" windowWidth="23256" windowHeight="12576" tabRatio="916" xr2:uid="{00000000-000D-0000-FFFF-FFFF00000000}"/>
  </bookViews>
  <sheets>
    <sheet name="2025 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4" i="8" l="1"/>
  <c r="U77" i="8"/>
  <c r="U60" i="8"/>
  <c r="U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U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T28" i="8"/>
  <c r="T27" i="8"/>
  <c r="T26" i="8"/>
  <c r="T25" i="8"/>
  <c r="T24" i="8"/>
  <c r="T23" i="8"/>
  <c r="T22" i="8"/>
  <c r="T21" i="8"/>
  <c r="T20" i="8"/>
  <c r="T19" i="8"/>
  <c r="T18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T14" i="8"/>
  <c r="T13" i="8"/>
  <c r="T12" i="8"/>
  <c r="T11" i="8"/>
  <c r="T10" i="8"/>
  <c r="T9" i="8"/>
  <c r="T8" i="8"/>
  <c r="T7" i="8"/>
  <c r="T6" i="8"/>
  <c r="T5" i="8"/>
  <c r="T4" i="8"/>
  <c r="T3" i="8"/>
  <c r="J47" i="8" l="1"/>
  <c r="M47" i="8"/>
  <c r="L47" i="8"/>
  <c r="R47" i="8"/>
  <c r="S47" i="8"/>
  <c r="N47" i="8"/>
  <c r="K47" i="8"/>
  <c r="I47" i="8"/>
  <c r="G47" i="8"/>
  <c r="O47" i="8"/>
  <c r="D47" i="8"/>
  <c r="H47" i="8"/>
  <c r="P47" i="8"/>
  <c r="Q47" i="8"/>
  <c r="E47" i="8"/>
  <c r="F47" i="8"/>
  <c r="T29" i="8"/>
  <c r="T45" i="8"/>
  <c r="T15" i="8"/>
  <c r="T47" i="8" l="1"/>
</calcChain>
</file>

<file path=xl/sharedStrings.xml><?xml version="1.0" encoding="utf-8"?>
<sst xmlns="http://schemas.openxmlformats.org/spreadsheetml/2006/main" count="64" uniqueCount="22">
  <si>
    <t>TOTAL</t>
  </si>
  <si>
    <t>Admin Vegetables</t>
  </si>
  <si>
    <t>South Vegetables</t>
  </si>
  <si>
    <t>Hydroponics</t>
  </si>
  <si>
    <t>Organic Inputs</t>
  </si>
  <si>
    <t>Agricultural Inputs</t>
  </si>
  <si>
    <t>Ornamentals</t>
  </si>
  <si>
    <t>Coconut</t>
  </si>
  <si>
    <t>Processed Products</t>
  </si>
  <si>
    <t xml:space="preserve">Poultry </t>
  </si>
  <si>
    <t>Rootcrops &amp; Cereals</t>
  </si>
  <si>
    <t>Others</t>
  </si>
  <si>
    <t>J A N U A R Y</t>
  </si>
  <si>
    <t>Date</t>
  </si>
  <si>
    <t>OR Number</t>
  </si>
  <si>
    <t>North Vegetables</t>
  </si>
  <si>
    <t>Fruits / High Value Crops</t>
  </si>
  <si>
    <t xml:space="preserve"> Livestock</t>
  </si>
  <si>
    <t>Training Center Fee</t>
  </si>
  <si>
    <t>F E B R U A R Y</t>
  </si>
  <si>
    <t>M A R C H</t>
  </si>
  <si>
    <t>Fisheries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</si>
</sst>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164" fontId="3" fillId="0" borderId="2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3" fillId="0" borderId="11" xfId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4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164" fontId="4" fillId="0" borderId="0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4" fillId="5" borderId="4" xfId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4" borderId="7" xfId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2" borderId="7" xfId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164" fontId="4" fillId="6" borderId="15" xfId="1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>
      <alignment horizontal="center" vertical="center" textRotation="90"/>
    </xf>
    <xf numFmtId="0" fontId="4" fillId="4" borderId="12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 textRotation="90"/>
    </xf>
    <xf numFmtId="0" fontId="4" fillId="2" borderId="12" xfId="0" applyFont="1" applyFill="1" applyBorder="1" applyAlignment="1">
      <alignment horizontal="center" vertical="center" textRotation="90"/>
    </xf>
    <xf numFmtId="0" fontId="4" fillId="5" borderId="3" xfId="0" applyFont="1" applyFill="1" applyBorder="1" applyAlignment="1">
      <alignment horizontal="center" vertical="center" textRotation="90"/>
    </xf>
    <xf numFmtId="0" fontId="4" fillId="5" borderId="9" xfId="0" applyFont="1" applyFill="1" applyBorder="1" applyAlignment="1">
      <alignment horizontal="center" vertical="center" textRotation="90"/>
    </xf>
    <xf numFmtId="0" fontId="4" fillId="5" borderId="12" xfId="0" applyFont="1" applyFill="1" applyBorder="1" applyAlignment="1">
      <alignment horizontal="center" vertical="center" textRotation="90"/>
    </xf>
  </cellXfs>
  <cellStyles count="7">
    <cellStyle name="Comma" xfId="1" builtinId="3"/>
    <cellStyle name="Comma 2" xfId="5" xr:uid="{00000000-0005-0000-0000-000002000000}"/>
    <cellStyle name="Normal" xfId="0" builtinId="0"/>
    <cellStyle name="Normal 2" xfId="2" xr:uid="{00000000-0005-0000-0000-000004000000}"/>
    <cellStyle name="Normal 2 2" xfId="6" xr:uid="{00000000-0005-0000-0000-000005000000}"/>
    <cellStyle name="Normal 3" xfId="3" xr:uid="{00000000-0005-0000-0000-000006000000}"/>
    <cellStyle name="Normal 4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0"/>
  <sheetViews>
    <sheetView tabSelected="1" zoomScale="85" zoomScaleNormal="85" zoomScaleSheetLayoutView="98" workbookViewId="0">
      <selection activeCell="D3" sqref="D3"/>
    </sheetView>
  </sheetViews>
  <sheetFormatPr defaultColWidth="9.21875" defaultRowHeight="13.8"/>
  <cols>
    <col min="1" max="1" width="3.77734375" style="3" customWidth="1"/>
    <col min="2" max="2" width="7.77734375" style="4" customWidth="1"/>
    <col min="3" max="3" width="10" style="3" customWidth="1"/>
    <col min="4" max="5" width="12.77734375" style="3" customWidth="1"/>
    <col min="6" max="6" width="12.5546875" style="3" customWidth="1"/>
    <col min="7" max="7" width="11.21875" style="3" customWidth="1"/>
    <col min="8" max="11" width="10.77734375" style="3" customWidth="1"/>
    <col min="12" max="12" width="11.77734375" style="3" customWidth="1"/>
    <col min="13" max="14" width="10.77734375" style="3" customWidth="1"/>
    <col min="15" max="15" width="12.6640625" style="3" customWidth="1"/>
    <col min="16" max="17" width="11.77734375" style="3" customWidth="1"/>
    <col min="18" max="18" width="10.77734375" style="3" customWidth="1"/>
    <col min="19" max="19" width="9" style="3" customWidth="1"/>
    <col min="20" max="20" width="12.77734375" style="4" customWidth="1"/>
    <col min="21" max="21" width="0.5546875" style="3" customWidth="1"/>
    <col min="22" max="16384" width="9.21875" style="3"/>
  </cols>
  <sheetData>
    <row r="1" spans="1:20" ht="7.5" customHeight="1" thickBot="1"/>
    <row r="2" spans="1:20" s="2" customFormat="1" ht="57" customHeight="1">
      <c r="A2" s="5"/>
      <c r="B2" s="6" t="s">
        <v>13</v>
      </c>
      <c r="C2" s="6" t="s">
        <v>14</v>
      </c>
      <c r="D2" s="6" t="s">
        <v>15</v>
      </c>
      <c r="E2" s="6" t="s">
        <v>1</v>
      </c>
      <c r="F2" s="6" t="s">
        <v>2</v>
      </c>
      <c r="G2" s="6" t="s">
        <v>3</v>
      </c>
      <c r="H2" s="6" t="s">
        <v>16</v>
      </c>
      <c r="I2" s="6" t="s">
        <v>21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17</v>
      </c>
      <c r="Q2" s="6" t="s">
        <v>10</v>
      </c>
      <c r="R2" s="6" t="s">
        <v>11</v>
      </c>
      <c r="S2" s="6" t="s">
        <v>18</v>
      </c>
      <c r="T2" s="22" t="s">
        <v>0</v>
      </c>
    </row>
    <row r="3" spans="1:20" s="2" customFormat="1" ht="22.5" customHeight="1">
      <c r="A3" s="30" t="s">
        <v>12</v>
      </c>
      <c r="B3" s="7">
        <v>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>
        <v>3090</v>
      </c>
      <c r="O3" s="7">
        <v>17935.5</v>
      </c>
      <c r="P3" s="7"/>
      <c r="Q3" s="7"/>
      <c r="R3" s="7"/>
      <c r="S3" s="7"/>
      <c r="T3" s="23">
        <f>SUM(D3:S3)</f>
        <v>21025.5</v>
      </c>
    </row>
    <row r="4" spans="1:20" s="2" customFormat="1" ht="22.5" customHeight="1">
      <c r="A4" s="30"/>
      <c r="B4" s="7">
        <v>8</v>
      </c>
      <c r="C4" s="7"/>
      <c r="D4" s="7">
        <v>2447.25</v>
      </c>
      <c r="E4" s="7">
        <v>924.8</v>
      </c>
      <c r="F4" s="7">
        <v>500.5</v>
      </c>
      <c r="G4" s="7">
        <v>10809</v>
      </c>
      <c r="H4" s="7">
        <v>88.5</v>
      </c>
      <c r="I4" s="7"/>
      <c r="J4" s="7">
        <v>570</v>
      </c>
      <c r="K4" s="7"/>
      <c r="L4" s="7"/>
      <c r="M4" s="7"/>
      <c r="N4" s="7"/>
      <c r="O4" s="7">
        <v>7576</v>
      </c>
      <c r="P4" s="7"/>
      <c r="Q4" s="7"/>
      <c r="R4" s="7"/>
      <c r="S4" s="7"/>
      <c r="T4" s="23">
        <f t="shared" ref="T4:T14" si="0">SUM(D4:S4)</f>
        <v>22916.05</v>
      </c>
    </row>
    <row r="5" spans="1:20" s="2" customFormat="1" ht="22.5" customHeight="1">
      <c r="A5" s="30"/>
      <c r="B5" s="7">
        <v>9</v>
      </c>
      <c r="C5" s="7"/>
      <c r="D5" s="7">
        <v>593.5</v>
      </c>
      <c r="E5" s="7"/>
      <c r="F5" s="7">
        <v>161.4</v>
      </c>
      <c r="G5" s="7"/>
      <c r="H5" s="7"/>
      <c r="I5" s="7"/>
      <c r="J5" s="7"/>
      <c r="K5" s="7"/>
      <c r="L5" s="7"/>
      <c r="M5" s="7"/>
      <c r="N5" s="7"/>
      <c r="O5" s="7">
        <v>2231</v>
      </c>
      <c r="P5" s="7"/>
      <c r="Q5" s="7"/>
      <c r="R5" s="7"/>
      <c r="S5" s="7"/>
      <c r="T5" s="23">
        <f t="shared" si="0"/>
        <v>2985.9</v>
      </c>
    </row>
    <row r="6" spans="1:20" s="2" customFormat="1" ht="22.5" customHeight="1">
      <c r="A6" s="30"/>
      <c r="B6" s="7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v>4680</v>
      </c>
      <c r="O6" s="7"/>
      <c r="P6" s="7"/>
      <c r="Q6" s="7"/>
      <c r="R6" s="7"/>
      <c r="S6" s="7"/>
      <c r="T6" s="23">
        <f t="shared" si="0"/>
        <v>4680</v>
      </c>
    </row>
    <row r="7" spans="1:20" s="2" customFormat="1" ht="22.5" customHeight="1">
      <c r="A7" s="30"/>
      <c r="B7" s="7">
        <v>14</v>
      </c>
      <c r="C7" s="7"/>
      <c r="D7" s="7">
        <v>2415</v>
      </c>
      <c r="E7" s="7"/>
      <c r="F7" s="7">
        <v>155</v>
      </c>
      <c r="G7" s="7">
        <v>2539.1999999999998</v>
      </c>
      <c r="H7" s="7"/>
      <c r="I7" s="7"/>
      <c r="J7" s="7"/>
      <c r="K7" s="7"/>
      <c r="L7" s="7"/>
      <c r="M7" s="7"/>
      <c r="N7" s="7"/>
      <c r="O7" s="7">
        <v>1427.5</v>
      </c>
      <c r="P7" s="7"/>
      <c r="Q7" s="7"/>
      <c r="R7" s="7"/>
      <c r="S7" s="7"/>
      <c r="T7" s="23">
        <f t="shared" si="0"/>
        <v>6536.7</v>
      </c>
    </row>
    <row r="8" spans="1:20" s="2" customFormat="1" ht="22.5" customHeight="1">
      <c r="A8" s="30"/>
      <c r="B8" s="7">
        <v>15</v>
      </c>
      <c r="C8" s="7"/>
      <c r="D8" s="7">
        <v>1299.7</v>
      </c>
      <c r="E8" s="7"/>
      <c r="F8" s="7">
        <v>544.5</v>
      </c>
      <c r="G8" s="7">
        <v>3433</v>
      </c>
      <c r="H8" s="7">
        <v>175</v>
      </c>
      <c r="I8" s="7"/>
      <c r="J8" s="7">
        <v>1260</v>
      </c>
      <c r="K8" s="7"/>
      <c r="L8" s="7"/>
      <c r="M8" s="7"/>
      <c r="N8" s="7"/>
      <c r="O8" s="7">
        <v>10499.5</v>
      </c>
      <c r="P8" s="7"/>
      <c r="Q8" s="7"/>
      <c r="R8" s="7"/>
      <c r="S8" s="7"/>
      <c r="T8" s="23">
        <f t="shared" si="0"/>
        <v>17211.7</v>
      </c>
    </row>
    <row r="9" spans="1:20" ht="22.5" customHeight="1">
      <c r="A9" s="30"/>
      <c r="B9" s="8">
        <v>17</v>
      </c>
      <c r="C9" s="9"/>
      <c r="D9" s="1"/>
      <c r="E9" s="1"/>
      <c r="F9" s="1"/>
      <c r="G9" s="1"/>
      <c r="H9" s="1"/>
      <c r="I9" s="1">
        <v>530</v>
      </c>
      <c r="J9" s="1"/>
      <c r="K9" s="10"/>
      <c r="L9" s="10"/>
      <c r="M9" s="10"/>
      <c r="N9" s="10">
        <v>1215</v>
      </c>
      <c r="O9" s="10"/>
      <c r="P9" s="10"/>
      <c r="Q9" s="10"/>
      <c r="R9" s="10"/>
      <c r="S9" s="10"/>
      <c r="T9" s="23">
        <f t="shared" si="0"/>
        <v>1745</v>
      </c>
    </row>
    <row r="10" spans="1:20" ht="22.5" customHeight="1">
      <c r="A10" s="30"/>
      <c r="B10" s="8">
        <v>22</v>
      </c>
      <c r="C10" s="9"/>
      <c r="D10" s="1">
        <v>255</v>
      </c>
      <c r="E10" s="1"/>
      <c r="F10" s="1">
        <v>312.5</v>
      </c>
      <c r="G10" s="1">
        <v>2183.1</v>
      </c>
      <c r="H10" s="1"/>
      <c r="I10" s="1"/>
      <c r="J10" s="1">
        <v>60</v>
      </c>
      <c r="K10" s="10"/>
      <c r="L10" s="10"/>
      <c r="M10" s="10"/>
      <c r="N10" s="10"/>
      <c r="O10" s="10">
        <v>17896</v>
      </c>
      <c r="P10" s="10"/>
      <c r="Q10" s="10"/>
      <c r="R10" s="10"/>
      <c r="S10" s="10"/>
      <c r="T10" s="23">
        <f t="shared" si="0"/>
        <v>20706.599999999999</v>
      </c>
    </row>
    <row r="11" spans="1:20" ht="22.5" customHeight="1">
      <c r="A11" s="30"/>
      <c r="B11" s="8">
        <v>23</v>
      </c>
      <c r="C11" s="10"/>
      <c r="D11" s="1"/>
      <c r="E11" s="1"/>
      <c r="F11" s="1"/>
      <c r="G11" s="1"/>
      <c r="H11" s="1"/>
      <c r="I11" s="1">
        <v>630</v>
      </c>
      <c r="J11" s="1"/>
      <c r="K11" s="10"/>
      <c r="L11" s="10"/>
      <c r="M11" s="10"/>
      <c r="N11" s="10">
        <v>2775</v>
      </c>
      <c r="O11" s="10"/>
      <c r="P11" s="10"/>
      <c r="Q11" s="10"/>
      <c r="R11" s="10"/>
      <c r="S11" s="10"/>
      <c r="T11" s="23">
        <f t="shared" si="0"/>
        <v>3405</v>
      </c>
    </row>
    <row r="12" spans="1:20" ht="22.5" customHeight="1">
      <c r="A12" s="30"/>
      <c r="B12" s="8">
        <v>24</v>
      </c>
      <c r="C12" s="8"/>
      <c r="D12" s="1">
        <v>275</v>
      </c>
      <c r="E12" s="1">
        <v>100</v>
      </c>
      <c r="F12" s="1">
        <v>145</v>
      </c>
      <c r="G12" s="1">
        <v>800</v>
      </c>
      <c r="H12" s="1">
        <v>580</v>
      </c>
      <c r="I12" s="1">
        <v>25640</v>
      </c>
      <c r="J12" s="1"/>
      <c r="K12" s="10"/>
      <c r="L12" s="10"/>
      <c r="M12" s="10"/>
      <c r="N12" s="10"/>
      <c r="O12" s="10">
        <v>5928</v>
      </c>
      <c r="P12" s="10"/>
      <c r="Q12" s="10"/>
      <c r="R12" s="10"/>
      <c r="S12" s="10"/>
      <c r="T12" s="23">
        <f t="shared" si="0"/>
        <v>33468</v>
      </c>
    </row>
    <row r="13" spans="1:20" ht="22.5" customHeight="1">
      <c r="A13" s="30"/>
      <c r="B13" s="8">
        <v>28</v>
      </c>
      <c r="C13" s="8"/>
      <c r="D13" s="1"/>
      <c r="E13" s="1">
        <v>292.5</v>
      </c>
      <c r="F13" s="1">
        <v>166.75</v>
      </c>
      <c r="G13" s="1">
        <v>2240</v>
      </c>
      <c r="H13" s="1">
        <v>100</v>
      </c>
      <c r="I13" s="1"/>
      <c r="J13" s="1">
        <v>55</v>
      </c>
      <c r="K13" s="10"/>
      <c r="L13" s="10"/>
      <c r="M13" s="10"/>
      <c r="N13" s="10">
        <v>825</v>
      </c>
      <c r="O13" s="10">
        <v>15673.5</v>
      </c>
      <c r="P13" s="10"/>
      <c r="Q13" s="10"/>
      <c r="R13" s="10"/>
      <c r="S13" s="10"/>
      <c r="T13" s="23">
        <f t="shared" si="0"/>
        <v>19352.75</v>
      </c>
    </row>
    <row r="14" spans="1:20" ht="22.5" customHeight="1">
      <c r="A14" s="30"/>
      <c r="B14" s="11">
        <v>30</v>
      </c>
      <c r="C14" s="11"/>
      <c r="D14" s="12"/>
      <c r="E14" s="12">
        <v>142.5</v>
      </c>
      <c r="F14" s="12">
        <v>40.75</v>
      </c>
      <c r="G14" s="12"/>
      <c r="H14" s="12">
        <v>135</v>
      </c>
      <c r="I14" s="12"/>
      <c r="J14" s="12"/>
      <c r="K14" s="21"/>
      <c r="L14" s="21"/>
      <c r="M14" s="21"/>
      <c r="N14" s="21"/>
      <c r="O14" s="21">
        <v>5750</v>
      </c>
      <c r="P14" s="21"/>
      <c r="Q14" s="21"/>
      <c r="R14" s="21"/>
      <c r="S14" s="21"/>
      <c r="T14" s="23">
        <f t="shared" si="0"/>
        <v>6068.25</v>
      </c>
    </row>
    <row r="15" spans="1:20" ht="33" customHeight="1" thickBot="1">
      <c r="A15" s="31"/>
      <c r="B15" s="13" t="s">
        <v>0</v>
      </c>
      <c r="C15" s="13"/>
      <c r="D15" s="14">
        <f>SUM(D3:D14)</f>
        <v>7285.45</v>
      </c>
      <c r="E15" s="14">
        <f t="shared" ref="E15:T15" si="1">SUM(E3:E14)</f>
        <v>1459.8</v>
      </c>
      <c r="F15" s="14">
        <f t="shared" si="1"/>
        <v>2026.4</v>
      </c>
      <c r="G15" s="14">
        <f t="shared" si="1"/>
        <v>22004.3</v>
      </c>
      <c r="H15" s="14">
        <f t="shared" si="1"/>
        <v>1078.5</v>
      </c>
      <c r="I15" s="14">
        <f t="shared" si="1"/>
        <v>26800</v>
      </c>
      <c r="J15" s="14">
        <f t="shared" si="1"/>
        <v>1945</v>
      </c>
      <c r="K15" s="14">
        <f t="shared" si="1"/>
        <v>0</v>
      </c>
      <c r="L15" s="14">
        <f t="shared" si="1"/>
        <v>0</v>
      </c>
      <c r="M15" s="14">
        <f t="shared" si="1"/>
        <v>0</v>
      </c>
      <c r="N15" s="14">
        <f t="shared" si="1"/>
        <v>12585</v>
      </c>
      <c r="O15" s="14">
        <f t="shared" si="1"/>
        <v>84917</v>
      </c>
      <c r="P15" s="14">
        <f t="shared" si="1"/>
        <v>0</v>
      </c>
      <c r="Q15" s="14">
        <f t="shared" si="1"/>
        <v>0</v>
      </c>
      <c r="R15" s="14">
        <f t="shared" si="1"/>
        <v>0</v>
      </c>
      <c r="S15" s="14">
        <f t="shared" si="1"/>
        <v>0</v>
      </c>
      <c r="T15" s="24">
        <f t="shared" si="1"/>
        <v>160101.45000000001</v>
      </c>
    </row>
    <row r="16" spans="1:20" ht="33" customHeight="1" thickBot="1">
      <c r="A16" s="15"/>
      <c r="C16" s="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1" s="2" customFormat="1" ht="57" customHeight="1">
      <c r="A17" s="5"/>
      <c r="B17" s="6" t="s">
        <v>13</v>
      </c>
      <c r="C17" s="6" t="s">
        <v>14</v>
      </c>
      <c r="D17" s="6" t="s">
        <v>15</v>
      </c>
      <c r="E17" s="6" t="s">
        <v>1</v>
      </c>
      <c r="F17" s="6" t="s">
        <v>2</v>
      </c>
      <c r="G17" s="6" t="s">
        <v>3</v>
      </c>
      <c r="H17" s="6" t="s">
        <v>16</v>
      </c>
      <c r="I17" s="6" t="s">
        <v>21</v>
      </c>
      <c r="J17" s="6" t="s">
        <v>4</v>
      </c>
      <c r="K17" s="6" t="s">
        <v>5</v>
      </c>
      <c r="L17" s="6" t="s">
        <v>6</v>
      </c>
      <c r="M17" s="6" t="s">
        <v>7</v>
      </c>
      <c r="N17" s="6" t="s">
        <v>8</v>
      </c>
      <c r="O17" s="6" t="s">
        <v>9</v>
      </c>
      <c r="P17" s="6" t="s">
        <v>17</v>
      </c>
      <c r="Q17" s="6" t="s">
        <v>10</v>
      </c>
      <c r="R17" s="6" t="s">
        <v>11</v>
      </c>
      <c r="S17" s="6" t="s">
        <v>18</v>
      </c>
      <c r="T17" s="22" t="s">
        <v>0</v>
      </c>
    </row>
    <row r="18" spans="1:21" ht="22.5" customHeight="1">
      <c r="A18" s="32" t="s">
        <v>19</v>
      </c>
      <c r="B18" s="8">
        <v>4</v>
      </c>
      <c r="C18" s="9"/>
      <c r="D18" s="1"/>
      <c r="E18" s="1"/>
      <c r="F18" s="1">
        <v>45</v>
      </c>
      <c r="G18" s="1"/>
      <c r="H18" s="1"/>
      <c r="I18" s="1">
        <v>3255</v>
      </c>
      <c r="J18" s="1"/>
      <c r="K18" s="10"/>
      <c r="L18" s="10">
        <v>87</v>
      </c>
      <c r="M18" s="10"/>
      <c r="N18" s="10">
        <v>3360</v>
      </c>
      <c r="O18" s="10">
        <v>5285</v>
      </c>
      <c r="P18" s="10">
        <v>21965</v>
      </c>
      <c r="Q18" s="10"/>
      <c r="R18" s="10"/>
      <c r="S18" s="10"/>
      <c r="T18" s="25">
        <f>SUM(D18:S18)</f>
        <v>33997</v>
      </c>
    </row>
    <row r="19" spans="1:21" ht="22.5" customHeight="1">
      <c r="A19" s="33"/>
      <c r="B19" s="8">
        <v>5</v>
      </c>
      <c r="C19" s="9"/>
      <c r="D19" s="1"/>
      <c r="E19" s="1">
        <v>45</v>
      </c>
      <c r="F19" s="1">
        <v>37.5</v>
      </c>
      <c r="G19" s="1">
        <v>390</v>
      </c>
      <c r="H19" s="1">
        <v>140</v>
      </c>
      <c r="I19" s="1"/>
      <c r="J19" s="1"/>
      <c r="K19" s="10"/>
      <c r="L19" s="10"/>
      <c r="M19" s="10"/>
      <c r="N19" s="10"/>
      <c r="O19" s="10">
        <v>6270</v>
      </c>
      <c r="P19" s="10"/>
      <c r="Q19" s="10"/>
      <c r="R19" s="10"/>
      <c r="S19" s="10"/>
      <c r="T19" s="25">
        <f t="shared" ref="T19:T28" si="2">SUM(D19:S19)</f>
        <v>6882.5</v>
      </c>
    </row>
    <row r="20" spans="1:21" ht="22.5" customHeight="1">
      <c r="A20" s="33"/>
      <c r="B20" s="8">
        <v>11</v>
      </c>
      <c r="C20" s="9"/>
      <c r="D20" s="1"/>
      <c r="E20" s="1">
        <v>55</v>
      </c>
      <c r="F20" s="1">
        <v>32.5</v>
      </c>
      <c r="G20" s="1">
        <v>2100</v>
      </c>
      <c r="H20" s="1"/>
      <c r="I20" s="1"/>
      <c r="J20" s="1"/>
      <c r="K20" s="10"/>
      <c r="L20" s="10"/>
      <c r="M20" s="10"/>
      <c r="N20" s="10">
        <v>3020</v>
      </c>
      <c r="O20" s="10">
        <v>3672.5</v>
      </c>
      <c r="P20" s="10"/>
      <c r="Q20" s="10">
        <v>1075</v>
      </c>
      <c r="R20" s="10"/>
      <c r="S20" s="10"/>
      <c r="T20" s="25">
        <f t="shared" si="2"/>
        <v>9955</v>
      </c>
    </row>
    <row r="21" spans="1:21" ht="22.5" customHeight="1">
      <c r="A21" s="33"/>
      <c r="B21" s="8">
        <v>13</v>
      </c>
      <c r="C21" s="9"/>
      <c r="D21" s="1"/>
      <c r="E21" s="1">
        <v>137.5</v>
      </c>
      <c r="F21" s="1">
        <v>27.5</v>
      </c>
      <c r="G21" s="1">
        <v>2150</v>
      </c>
      <c r="H21" s="1">
        <v>30</v>
      </c>
      <c r="I21" s="1"/>
      <c r="J21" s="1">
        <v>70</v>
      </c>
      <c r="K21" s="10"/>
      <c r="L21" s="10">
        <v>80</v>
      </c>
      <c r="M21" s="10">
        <v>100</v>
      </c>
      <c r="N21" s="10"/>
      <c r="O21" s="10">
        <v>8060</v>
      </c>
      <c r="P21" s="10">
        <v>1191</v>
      </c>
      <c r="Q21" s="10">
        <v>1175</v>
      </c>
      <c r="R21" s="10"/>
      <c r="S21" s="10"/>
      <c r="T21" s="25">
        <f t="shared" si="2"/>
        <v>13021</v>
      </c>
    </row>
    <row r="22" spans="1:21" ht="22.5" customHeight="1">
      <c r="A22" s="33"/>
      <c r="B22" s="8">
        <v>19</v>
      </c>
      <c r="C22" s="9"/>
      <c r="D22" s="1"/>
      <c r="E22" s="1">
        <v>100</v>
      </c>
      <c r="F22" s="1">
        <v>33.5</v>
      </c>
      <c r="G22" s="1">
        <v>325</v>
      </c>
      <c r="H22" s="1"/>
      <c r="I22" s="1"/>
      <c r="J22" s="1">
        <v>1450</v>
      </c>
      <c r="K22" s="10"/>
      <c r="L22" s="10"/>
      <c r="M22" s="10"/>
      <c r="N22" s="10">
        <v>1120</v>
      </c>
      <c r="O22" s="10">
        <v>13485</v>
      </c>
      <c r="P22" s="10"/>
      <c r="Q22" s="10"/>
      <c r="R22" s="10"/>
      <c r="S22" s="10"/>
      <c r="T22" s="25">
        <f t="shared" si="2"/>
        <v>16513.5</v>
      </c>
    </row>
    <row r="23" spans="1:21" ht="22.5" customHeight="1">
      <c r="A23" s="33"/>
      <c r="B23" s="8">
        <v>21</v>
      </c>
      <c r="C23" s="10"/>
      <c r="D23" s="1"/>
      <c r="E23" s="1">
        <v>273.75</v>
      </c>
      <c r="F23" s="1">
        <v>122</v>
      </c>
      <c r="G23" s="1">
        <v>1175</v>
      </c>
      <c r="H23" s="1">
        <v>20636</v>
      </c>
      <c r="I23" s="1">
        <v>24200</v>
      </c>
      <c r="J23" s="1">
        <v>190</v>
      </c>
      <c r="K23" s="10"/>
      <c r="L23" s="10"/>
      <c r="M23" s="10">
        <v>39510</v>
      </c>
      <c r="N23" s="10"/>
      <c r="O23" s="10">
        <v>16995</v>
      </c>
      <c r="P23" s="10"/>
      <c r="Q23" s="10"/>
      <c r="R23" s="10"/>
      <c r="S23" s="10"/>
      <c r="T23" s="25">
        <f t="shared" si="2"/>
        <v>103101.75</v>
      </c>
    </row>
    <row r="24" spans="1:21" ht="22.5" customHeight="1">
      <c r="A24" s="33"/>
      <c r="B24" s="8">
        <v>25</v>
      </c>
      <c r="C24" s="10"/>
      <c r="D24" s="1"/>
      <c r="E24" s="1">
        <v>87.5</v>
      </c>
      <c r="F24" s="1">
        <v>40</v>
      </c>
      <c r="G24" s="1"/>
      <c r="H24" s="1"/>
      <c r="I24" s="1"/>
      <c r="J24" s="1"/>
      <c r="K24" s="10"/>
      <c r="L24" s="10"/>
      <c r="M24" s="10"/>
      <c r="N24" s="10"/>
      <c r="O24" s="10">
        <v>19065</v>
      </c>
      <c r="P24" s="10"/>
      <c r="Q24" s="10"/>
      <c r="R24" s="10"/>
      <c r="S24" s="10"/>
      <c r="T24" s="25">
        <f t="shared" si="2"/>
        <v>19192.5</v>
      </c>
    </row>
    <row r="25" spans="1:21" ht="22.5" customHeight="1">
      <c r="A25" s="33"/>
      <c r="B25" s="8">
        <v>26</v>
      </c>
      <c r="C25" s="10"/>
      <c r="D25" s="10"/>
      <c r="E25" s="10">
        <v>88.75</v>
      </c>
      <c r="F25" s="10"/>
      <c r="G25" s="10"/>
      <c r="H25" s="10"/>
      <c r="I25" s="10">
        <v>5005</v>
      </c>
      <c r="J25" s="10"/>
      <c r="K25" s="10"/>
      <c r="L25" s="10"/>
      <c r="M25" s="10"/>
      <c r="N25" s="10">
        <v>2595</v>
      </c>
      <c r="O25" s="10"/>
      <c r="P25" s="10">
        <v>3645</v>
      </c>
      <c r="Q25" s="10"/>
      <c r="R25" s="10"/>
      <c r="S25" s="10"/>
      <c r="T25" s="25">
        <f t="shared" si="2"/>
        <v>11333.75</v>
      </c>
    </row>
    <row r="26" spans="1:21" ht="22.5" customHeight="1">
      <c r="A26" s="33"/>
      <c r="B26" s="8"/>
      <c r="C26" s="8"/>
      <c r="D26" s="1"/>
      <c r="E26" s="1"/>
      <c r="F26" s="1"/>
      <c r="G26" s="1"/>
      <c r="H26" s="1"/>
      <c r="I26" s="1"/>
      <c r="J26" s="1"/>
      <c r="K26" s="10"/>
      <c r="L26" s="10"/>
      <c r="M26" s="10"/>
      <c r="N26" s="10"/>
      <c r="O26" s="10"/>
      <c r="P26" s="10"/>
      <c r="Q26" s="10"/>
      <c r="R26" s="10"/>
      <c r="S26" s="10"/>
      <c r="T26" s="25">
        <f t="shared" si="2"/>
        <v>0</v>
      </c>
    </row>
    <row r="27" spans="1:21" ht="22.5" customHeight="1">
      <c r="A27" s="33"/>
      <c r="B27" s="8"/>
      <c r="C27" s="8"/>
      <c r="D27" s="1"/>
      <c r="E27" s="1"/>
      <c r="F27" s="1"/>
      <c r="G27" s="1"/>
      <c r="H27" s="1"/>
      <c r="I27" s="1"/>
      <c r="J27" s="1"/>
      <c r="K27" s="10"/>
      <c r="L27" s="10"/>
      <c r="M27" s="10"/>
      <c r="N27" s="10"/>
      <c r="O27" s="10"/>
      <c r="P27" s="10"/>
      <c r="Q27" s="10"/>
      <c r="R27" s="10"/>
      <c r="S27" s="10"/>
      <c r="T27" s="25">
        <f t="shared" si="2"/>
        <v>0</v>
      </c>
    </row>
    <row r="28" spans="1:21" ht="22.5" customHeight="1">
      <c r="A28" s="33"/>
      <c r="B28" s="8"/>
      <c r="C28" s="8"/>
      <c r="D28" s="1"/>
      <c r="E28" s="1"/>
      <c r="F28" s="1"/>
      <c r="G28" s="1"/>
      <c r="H28" s="1"/>
      <c r="I28" s="1"/>
      <c r="J28" s="1"/>
      <c r="K28" s="10"/>
      <c r="L28" s="10"/>
      <c r="M28" s="10"/>
      <c r="N28" s="10"/>
      <c r="O28" s="10"/>
      <c r="P28" s="10"/>
      <c r="Q28" s="10"/>
      <c r="R28" s="10"/>
      <c r="S28" s="10"/>
      <c r="T28" s="25">
        <f t="shared" si="2"/>
        <v>0</v>
      </c>
    </row>
    <row r="29" spans="1:21" ht="39" customHeight="1" thickBot="1">
      <c r="A29" s="34"/>
      <c r="B29" s="17" t="s">
        <v>0</v>
      </c>
      <c r="C29" s="17"/>
      <c r="D29" s="18">
        <f>SUM(D18:D28)</f>
        <v>0</v>
      </c>
      <c r="E29" s="18">
        <f>SUM(E18:E28)</f>
        <v>787.5</v>
      </c>
      <c r="F29" s="18">
        <f t="shared" ref="F29:U29" si="3">SUM(F18:F28)</f>
        <v>338</v>
      </c>
      <c r="G29" s="18">
        <f t="shared" si="3"/>
        <v>6140</v>
      </c>
      <c r="H29" s="18">
        <f t="shared" si="3"/>
        <v>20806</v>
      </c>
      <c r="I29" s="18">
        <f t="shared" si="3"/>
        <v>32460</v>
      </c>
      <c r="J29" s="18">
        <f t="shared" si="3"/>
        <v>1710</v>
      </c>
      <c r="K29" s="18">
        <f t="shared" si="3"/>
        <v>0</v>
      </c>
      <c r="L29" s="18">
        <f t="shared" si="3"/>
        <v>167</v>
      </c>
      <c r="M29" s="18">
        <f t="shared" si="3"/>
        <v>39610</v>
      </c>
      <c r="N29" s="18">
        <f t="shared" si="3"/>
        <v>10095</v>
      </c>
      <c r="O29" s="18">
        <f t="shared" si="3"/>
        <v>72832.5</v>
      </c>
      <c r="P29" s="18">
        <f t="shared" si="3"/>
        <v>26801</v>
      </c>
      <c r="Q29" s="18">
        <f t="shared" si="3"/>
        <v>2250</v>
      </c>
      <c r="R29" s="18">
        <f t="shared" si="3"/>
        <v>0</v>
      </c>
      <c r="S29" s="18">
        <f t="shared" si="3"/>
        <v>0</v>
      </c>
      <c r="T29" s="26">
        <f t="shared" si="3"/>
        <v>213997</v>
      </c>
      <c r="U29" s="16">
        <f t="shared" si="3"/>
        <v>0</v>
      </c>
    </row>
    <row r="31" spans="1:21" s="2" customFormat="1" ht="57" customHeight="1">
      <c r="A31" s="5"/>
      <c r="B31" s="6" t="s">
        <v>13</v>
      </c>
      <c r="C31" s="6" t="s">
        <v>14</v>
      </c>
      <c r="D31" s="6" t="s">
        <v>15</v>
      </c>
      <c r="E31" s="6" t="s">
        <v>1</v>
      </c>
      <c r="F31" s="6" t="s">
        <v>2</v>
      </c>
      <c r="G31" s="6" t="s">
        <v>3</v>
      </c>
      <c r="H31" s="6" t="s">
        <v>16</v>
      </c>
      <c r="I31" s="6" t="s">
        <v>21</v>
      </c>
      <c r="J31" s="6" t="s">
        <v>4</v>
      </c>
      <c r="K31" s="6" t="s">
        <v>5</v>
      </c>
      <c r="L31" s="6" t="s">
        <v>6</v>
      </c>
      <c r="M31" s="6" t="s">
        <v>7</v>
      </c>
      <c r="N31" s="6" t="s">
        <v>8</v>
      </c>
      <c r="O31" s="6" t="s">
        <v>9</v>
      </c>
      <c r="P31" s="6" t="s">
        <v>17</v>
      </c>
      <c r="Q31" s="6" t="s">
        <v>10</v>
      </c>
      <c r="R31" s="6" t="s">
        <v>11</v>
      </c>
      <c r="S31" s="6" t="s">
        <v>18</v>
      </c>
      <c r="T31" s="22" t="s">
        <v>0</v>
      </c>
    </row>
    <row r="32" spans="1:21" ht="24" customHeight="1">
      <c r="A32" s="35" t="s">
        <v>20</v>
      </c>
      <c r="B32" s="4">
        <v>3</v>
      </c>
      <c r="C32" s="10"/>
      <c r="D32" s="10">
        <v>28</v>
      </c>
      <c r="E32" s="10">
        <v>65</v>
      </c>
      <c r="F32" s="10"/>
      <c r="G32" s="10">
        <v>2045</v>
      </c>
      <c r="H32" s="10">
        <v>247</v>
      </c>
      <c r="I32" s="10"/>
      <c r="J32" s="10">
        <v>1540</v>
      </c>
      <c r="K32" s="10">
        <v>1675</v>
      </c>
      <c r="L32" s="10"/>
      <c r="M32" s="10"/>
      <c r="N32" s="10"/>
      <c r="O32" s="10"/>
      <c r="P32" s="10"/>
      <c r="Q32" s="10"/>
      <c r="R32" s="10"/>
      <c r="S32" s="10"/>
      <c r="T32" s="25">
        <f>SUM(D32:S32)</f>
        <v>5600</v>
      </c>
    </row>
    <row r="33" spans="1:21" ht="24" customHeight="1">
      <c r="A33" s="36"/>
      <c r="B33" s="8">
        <v>5</v>
      </c>
      <c r="C33" s="9"/>
      <c r="D33" s="1">
        <v>17.600000000000001</v>
      </c>
      <c r="E33" s="1">
        <v>35</v>
      </c>
      <c r="F33" s="1"/>
      <c r="G33" s="1">
        <v>1825</v>
      </c>
      <c r="H33" s="1">
        <v>20</v>
      </c>
      <c r="I33" s="1"/>
      <c r="J33" s="1">
        <v>40</v>
      </c>
      <c r="K33" s="10"/>
      <c r="L33" s="10"/>
      <c r="M33" s="10"/>
      <c r="N33" s="3">
        <v>3070</v>
      </c>
      <c r="O33" s="10">
        <v>20002.5</v>
      </c>
      <c r="P33" s="10"/>
      <c r="Q33" s="10"/>
      <c r="R33" s="10"/>
      <c r="S33" s="10"/>
      <c r="T33" s="25">
        <f t="shared" ref="T33:T44" si="4">SUM(D33:S33)</f>
        <v>25010.1</v>
      </c>
    </row>
    <row r="34" spans="1:21" ht="24" customHeight="1">
      <c r="A34" s="36"/>
      <c r="B34" s="8">
        <v>6</v>
      </c>
      <c r="C34" s="10"/>
      <c r="D34" s="10">
        <v>104.5</v>
      </c>
      <c r="E34" s="10">
        <v>60</v>
      </c>
      <c r="F34" s="10"/>
      <c r="G34" s="10">
        <v>1690</v>
      </c>
      <c r="H34" s="10">
        <v>35</v>
      </c>
      <c r="I34" s="10"/>
      <c r="J34" s="10">
        <v>235</v>
      </c>
      <c r="K34" s="10"/>
      <c r="L34" s="10"/>
      <c r="M34" s="10"/>
      <c r="N34" s="10">
        <v>920</v>
      </c>
      <c r="O34" s="10">
        <v>12590</v>
      </c>
      <c r="P34" s="10"/>
      <c r="Q34" s="10"/>
      <c r="R34" s="10"/>
      <c r="S34" s="10"/>
      <c r="T34" s="25">
        <f t="shared" si="4"/>
        <v>15634.5</v>
      </c>
    </row>
    <row r="35" spans="1:21" ht="24" customHeight="1">
      <c r="A35" s="36"/>
      <c r="B35" s="8">
        <v>10</v>
      </c>
      <c r="C35" s="10"/>
      <c r="D35" s="1"/>
      <c r="E35" s="1"/>
      <c r="F35" s="1">
        <v>52.2</v>
      </c>
      <c r="G35" s="1">
        <v>915</v>
      </c>
      <c r="H35" s="1"/>
      <c r="I35" s="1"/>
      <c r="J35" s="1">
        <v>40</v>
      </c>
      <c r="K35" s="10"/>
      <c r="L35" s="10"/>
      <c r="M35" s="10"/>
      <c r="N35" s="10"/>
      <c r="O35" s="10">
        <v>2185</v>
      </c>
      <c r="P35" s="10"/>
      <c r="Q35" s="10"/>
      <c r="R35" s="10"/>
      <c r="S35" s="10"/>
      <c r="T35" s="25">
        <f t="shared" si="4"/>
        <v>3192.2</v>
      </c>
    </row>
    <row r="36" spans="1:21" ht="24" customHeight="1">
      <c r="A36" s="36"/>
      <c r="B36" s="8">
        <v>11</v>
      </c>
      <c r="C36" s="8"/>
      <c r="D36" s="10">
        <v>153.5</v>
      </c>
      <c r="E36" s="10"/>
      <c r="F36" s="10"/>
      <c r="G36" s="10">
        <v>840</v>
      </c>
      <c r="H36" s="10"/>
      <c r="I36" s="10"/>
      <c r="J36" s="10">
        <v>20</v>
      </c>
      <c r="K36" s="10"/>
      <c r="L36" s="10"/>
      <c r="M36" s="10"/>
      <c r="N36" s="10"/>
      <c r="O36" s="10">
        <v>9645</v>
      </c>
      <c r="P36" s="10"/>
      <c r="Q36" s="10"/>
      <c r="R36" s="10"/>
      <c r="S36" s="10"/>
      <c r="T36" s="25">
        <f t="shared" si="4"/>
        <v>10658.5</v>
      </c>
    </row>
    <row r="37" spans="1:21" ht="24" customHeight="1">
      <c r="A37" s="36"/>
      <c r="B37" s="8">
        <v>12</v>
      </c>
      <c r="C37" s="8"/>
      <c r="D37" s="1">
        <v>164.5</v>
      </c>
      <c r="E37" s="1"/>
      <c r="F37" s="1"/>
      <c r="G37" s="1"/>
      <c r="H37" s="1"/>
      <c r="I37" s="1"/>
      <c r="J37" s="1"/>
      <c r="K37" s="10"/>
      <c r="L37" s="10"/>
      <c r="M37" s="10"/>
      <c r="N37" s="10">
        <v>3110</v>
      </c>
      <c r="O37" s="10">
        <v>8360</v>
      </c>
      <c r="P37" s="10"/>
      <c r="Q37" s="10"/>
      <c r="R37" s="10"/>
      <c r="S37" s="10"/>
      <c r="T37" s="25">
        <f t="shared" si="4"/>
        <v>11634.5</v>
      </c>
    </row>
    <row r="38" spans="1:21" ht="24" customHeight="1">
      <c r="A38" s="36"/>
      <c r="B38" s="8">
        <v>17</v>
      </c>
      <c r="C38" s="8"/>
      <c r="D38" s="1">
        <v>89.7</v>
      </c>
      <c r="E38" s="1">
        <v>122.5</v>
      </c>
      <c r="F38" s="1"/>
      <c r="G38" s="1">
        <v>70</v>
      </c>
      <c r="H38" s="1"/>
      <c r="I38" s="1"/>
      <c r="J38" s="1"/>
      <c r="K38" s="10"/>
      <c r="L38" s="10">
        <v>80</v>
      </c>
      <c r="M38" s="10"/>
      <c r="N38" s="10"/>
      <c r="O38" s="10">
        <v>4660</v>
      </c>
      <c r="P38" s="10"/>
      <c r="Q38" s="10"/>
      <c r="R38" s="10"/>
      <c r="S38" s="10"/>
      <c r="T38" s="25">
        <f t="shared" si="4"/>
        <v>5022.2</v>
      </c>
    </row>
    <row r="39" spans="1:21" ht="24" customHeight="1">
      <c r="A39" s="36"/>
      <c r="B39" s="11">
        <v>18</v>
      </c>
      <c r="C39" s="11"/>
      <c r="D39" s="12"/>
      <c r="E39" s="12">
        <v>70</v>
      </c>
      <c r="F39" s="12"/>
      <c r="G39" s="12">
        <v>65</v>
      </c>
      <c r="H39" s="12"/>
      <c r="I39" s="12"/>
      <c r="J39" s="12">
        <v>860</v>
      </c>
      <c r="K39" s="21"/>
      <c r="L39" s="21"/>
      <c r="M39" s="21"/>
      <c r="N39" s="21">
        <v>2235</v>
      </c>
      <c r="O39" s="21">
        <v>9815</v>
      </c>
      <c r="P39" s="21"/>
      <c r="Q39" s="21"/>
      <c r="R39" s="21"/>
      <c r="S39" s="21"/>
      <c r="T39" s="25">
        <f t="shared" si="4"/>
        <v>13045</v>
      </c>
    </row>
    <row r="40" spans="1:21" ht="24" customHeight="1">
      <c r="A40" s="36"/>
      <c r="B40" s="11">
        <v>20</v>
      </c>
      <c r="C40" s="11"/>
      <c r="D40" s="12">
        <v>365</v>
      </c>
      <c r="E40" s="12">
        <v>91.5</v>
      </c>
      <c r="F40" s="12"/>
      <c r="G40" s="12"/>
      <c r="H40" s="12"/>
      <c r="I40" s="12"/>
      <c r="J40" s="12"/>
      <c r="K40" s="21"/>
      <c r="L40" s="21"/>
      <c r="M40" s="21"/>
      <c r="N40" s="21"/>
      <c r="O40" s="21">
        <v>7470</v>
      </c>
      <c r="P40" s="21"/>
      <c r="Q40" s="21"/>
      <c r="R40" s="21"/>
      <c r="S40" s="21"/>
      <c r="T40" s="25">
        <f t="shared" si="4"/>
        <v>7926.5</v>
      </c>
    </row>
    <row r="41" spans="1:21" ht="24" customHeight="1">
      <c r="A41" s="36"/>
      <c r="B41" s="11">
        <v>24</v>
      </c>
      <c r="C41" s="11"/>
      <c r="D41" s="12">
        <v>247.5</v>
      </c>
      <c r="E41" s="12"/>
      <c r="F41" s="12">
        <v>25</v>
      </c>
      <c r="G41" s="12"/>
      <c r="H41" s="12"/>
      <c r="I41" s="12"/>
      <c r="J41" s="12">
        <v>60</v>
      </c>
      <c r="K41" s="21"/>
      <c r="L41" s="21"/>
      <c r="M41" s="21"/>
      <c r="N41" s="21"/>
      <c r="O41" s="21">
        <v>11415</v>
      </c>
      <c r="P41" s="21"/>
      <c r="Q41" s="21">
        <v>1107.5</v>
      </c>
      <c r="R41" s="21"/>
      <c r="S41" s="21"/>
      <c r="T41" s="25">
        <f t="shared" si="4"/>
        <v>12855</v>
      </c>
    </row>
    <row r="42" spans="1:21" ht="24" customHeight="1">
      <c r="A42" s="36"/>
      <c r="B42" s="11">
        <v>25</v>
      </c>
      <c r="C42" s="11"/>
      <c r="D42" s="12"/>
      <c r="E42" s="12"/>
      <c r="F42" s="12"/>
      <c r="G42" s="12"/>
      <c r="H42" s="12"/>
      <c r="I42" s="12"/>
      <c r="J42" s="12"/>
      <c r="K42" s="21"/>
      <c r="L42" s="21"/>
      <c r="M42" s="21">
        <v>70900</v>
      </c>
      <c r="N42" s="21"/>
      <c r="O42" s="21"/>
      <c r="P42" s="21"/>
      <c r="Q42" s="21"/>
      <c r="R42" s="21"/>
      <c r="S42" s="21"/>
      <c r="T42" s="25">
        <f t="shared" si="4"/>
        <v>70900</v>
      </c>
    </row>
    <row r="43" spans="1:21" ht="24" customHeight="1">
      <c r="A43" s="36"/>
      <c r="B43" s="11">
        <v>26</v>
      </c>
      <c r="C43" s="11"/>
      <c r="D43" s="12"/>
      <c r="E43" s="12"/>
      <c r="F43" s="12"/>
      <c r="G43" s="12">
        <v>150</v>
      </c>
      <c r="H43" s="12"/>
      <c r="I43" s="12"/>
      <c r="J43" s="12"/>
      <c r="K43" s="21"/>
      <c r="L43" s="21"/>
      <c r="M43" s="21"/>
      <c r="N43" s="21"/>
      <c r="O43" s="21">
        <v>7960</v>
      </c>
      <c r="P43" s="21"/>
      <c r="Q43" s="21"/>
      <c r="R43" s="21"/>
      <c r="S43" s="21"/>
      <c r="T43" s="25">
        <f t="shared" si="4"/>
        <v>8110</v>
      </c>
    </row>
    <row r="44" spans="1:21" ht="24" customHeight="1">
      <c r="A44" s="36"/>
      <c r="B44" s="11">
        <v>27</v>
      </c>
      <c r="C44" s="11"/>
      <c r="D44" s="12">
        <v>292.5</v>
      </c>
      <c r="E44" s="12"/>
      <c r="F44" s="12">
        <v>17.5</v>
      </c>
      <c r="G44" s="12">
        <v>1000</v>
      </c>
      <c r="H44" s="12">
        <v>164</v>
      </c>
      <c r="I44" s="12"/>
      <c r="J44" s="12"/>
      <c r="K44" s="21"/>
      <c r="L44" s="21"/>
      <c r="M44" s="21"/>
      <c r="N44" s="21">
        <v>3320</v>
      </c>
      <c r="O44" s="21">
        <v>8145</v>
      </c>
      <c r="P44" s="21"/>
      <c r="Q44" s="21"/>
      <c r="R44" s="21"/>
      <c r="S44" s="21"/>
      <c r="T44" s="25">
        <f t="shared" si="4"/>
        <v>12939</v>
      </c>
    </row>
    <row r="45" spans="1:21" ht="23.25" customHeight="1" thickBot="1">
      <c r="A45" s="37"/>
      <c r="B45" s="19" t="s">
        <v>0</v>
      </c>
      <c r="C45" s="19"/>
      <c r="D45" s="20">
        <f>SUM(D32:D44)</f>
        <v>1462.8000000000002</v>
      </c>
      <c r="E45" s="20">
        <f t="shared" ref="E45:T45" si="5">SUM(E32:E44)</f>
        <v>444</v>
      </c>
      <c r="F45" s="20">
        <f t="shared" si="5"/>
        <v>94.7</v>
      </c>
      <c r="G45" s="20">
        <f t="shared" si="5"/>
        <v>8600</v>
      </c>
      <c r="H45" s="20">
        <f t="shared" si="5"/>
        <v>466</v>
      </c>
      <c r="I45" s="20">
        <f t="shared" si="5"/>
        <v>0</v>
      </c>
      <c r="J45" s="20">
        <f t="shared" si="5"/>
        <v>2795</v>
      </c>
      <c r="K45" s="20">
        <f t="shared" si="5"/>
        <v>1675</v>
      </c>
      <c r="L45" s="20">
        <f t="shared" si="5"/>
        <v>80</v>
      </c>
      <c r="M45" s="20">
        <f t="shared" si="5"/>
        <v>70900</v>
      </c>
      <c r="N45" s="20">
        <f t="shared" si="5"/>
        <v>12655</v>
      </c>
      <c r="O45" s="20">
        <f t="shared" si="5"/>
        <v>102247.5</v>
      </c>
      <c r="P45" s="20">
        <f t="shared" si="5"/>
        <v>0</v>
      </c>
      <c r="Q45" s="20">
        <f t="shared" si="5"/>
        <v>1107.5</v>
      </c>
      <c r="R45" s="20">
        <f t="shared" si="5"/>
        <v>0</v>
      </c>
      <c r="S45" s="20">
        <f t="shared" si="5"/>
        <v>0</v>
      </c>
      <c r="T45" s="20">
        <f t="shared" si="5"/>
        <v>202527.5</v>
      </c>
      <c r="U45" s="16">
        <f>SUM(U32:U38)</f>
        <v>0</v>
      </c>
    </row>
    <row r="46" spans="1:21" ht="23.25" customHeight="1" thickBot="1">
      <c r="A46" s="15"/>
      <c r="C46" s="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s="2" customFormat="1" ht="28.5" customHeight="1" thickBot="1">
      <c r="A47" s="3"/>
      <c r="B47" s="27" t="s">
        <v>0</v>
      </c>
      <c r="C47" s="28"/>
      <c r="D47" s="29" t="e">
        <f>#REF!+#REF!+#REF!+#REF!+#REF!+#REF!+#REF!+#REF!+#REF!+D45+D29+D15</f>
        <v>#REF!</v>
      </c>
      <c r="E47" s="29" t="e">
        <f>#REF!+#REF!+#REF!+#REF!+#REF!+#REF!+#REF!+#REF!+#REF!+E45+E29+E15</f>
        <v>#REF!</v>
      </c>
      <c r="F47" s="29" t="e">
        <f>#REF!+#REF!+#REF!+#REF!+#REF!+#REF!+#REF!+#REF!+#REF!+F45+F29+F15</f>
        <v>#REF!</v>
      </c>
      <c r="G47" s="29" t="e">
        <f>#REF!+#REF!+#REF!+#REF!+#REF!+#REF!+#REF!+#REF!+#REF!+G45+G29+G15</f>
        <v>#REF!</v>
      </c>
      <c r="H47" s="29" t="e">
        <f>#REF!+#REF!+#REF!+#REF!+#REF!+#REF!+#REF!+#REF!+#REF!+H45+H29+H15</f>
        <v>#REF!</v>
      </c>
      <c r="I47" s="29" t="e">
        <f>#REF!+#REF!+#REF!+#REF!+#REF!+#REF!+#REF!+#REF!+#REF!+I45+I29+I15</f>
        <v>#REF!</v>
      </c>
      <c r="J47" s="29" t="e">
        <f>#REF!+#REF!+#REF!+#REF!+#REF!+#REF!+#REF!+#REF!+#REF!+J45+J29+J15</f>
        <v>#REF!</v>
      </c>
      <c r="K47" s="29" t="e">
        <f>#REF!+#REF!+#REF!+#REF!+#REF!+#REF!+#REF!+#REF!+#REF!+K45+K29+K15</f>
        <v>#REF!</v>
      </c>
      <c r="L47" s="29" t="e">
        <f>#REF!+#REF!+#REF!+#REF!+#REF!+#REF!+#REF!+#REF!+#REF!+L45+L29+L15</f>
        <v>#REF!</v>
      </c>
      <c r="M47" s="29" t="e">
        <f>#REF!+#REF!+#REF!+#REF!+#REF!+#REF!+#REF!+#REF!+#REF!+M45+M29+M15</f>
        <v>#REF!</v>
      </c>
      <c r="N47" s="29" t="e">
        <f>#REF!+#REF!+#REF!+#REF!+#REF!+#REF!+#REF!+#REF!+#REF!+N45+N29+N15</f>
        <v>#REF!</v>
      </c>
      <c r="O47" s="29" t="e">
        <f>#REF!+#REF!+#REF!+#REF!+#REF!+#REF!+#REF!+#REF!+#REF!+O45+O29+O15</f>
        <v>#REF!</v>
      </c>
      <c r="P47" s="29" t="e">
        <f>#REF!+#REF!+#REF!+#REF!+#REF!+#REF!+#REF!+#REF!+#REF!+P45+P29+P15</f>
        <v>#REF!</v>
      </c>
      <c r="Q47" s="29" t="e">
        <f>#REF!+#REF!+#REF!+#REF!+#REF!+#REF!+#REF!+#REF!+#REF!+Q45+Q29+Q15</f>
        <v>#REF!</v>
      </c>
      <c r="R47" s="29" t="e">
        <f>#REF!+#REF!+#REF!+#REF!+#REF!+#REF!+#REF!+#REF!+#REF!+R45+R29+R15</f>
        <v>#REF!</v>
      </c>
      <c r="S47" s="29" t="e">
        <f>#REF!+#REF!+#REF!+#REF!+#REF!+#REF!+#REF!+#REF!+#REF!+S45+S29+S15</f>
        <v>#REF!</v>
      </c>
      <c r="T47" s="29" t="e">
        <f>#REF!+#REF!+#REF!+#REF!+#REF!+#REF!+#REF!+#REF!+#REF!+T45+T29+T15</f>
        <v>#REF!</v>
      </c>
    </row>
    <row r="48" spans="1:21" ht="28.5" customHeight="1"/>
    <row r="49" spans="1:21" ht="28.5" customHeight="1"/>
    <row r="50" spans="1:21" ht="28.5" customHeight="1"/>
    <row r="51" spans="1:21" ht="28.5" customHeight="1"/>
    <row r="52" spans="1:21" ht="28.5" customHeight="1"/>
    <row r="53" spans="1:21" ht="28.5" customHeight="1"/>
    <row r="54" spans="1:21" ht="28.5" customHeight="1"/>
    <row r="55" spans="1:21" ht="28.5" customHeight="1"/>
    <row r="56" spans="1:21" ht="28.5" customHeight="1"/>
    <row r="57" spans="1:21" ht="28.5" customHeight="1"/>
    <row r="58" spans="1:21" ht="28.5" customHeight="1"/>
    <row r="59" spans="1:21" ht="28.5" customHeight="1"/>
    <row r="60" spans="1:21" ht="28.5" customHeight="1">
      <c r="U60" s="16">
        <f t="shared" ref="U60" si="6">SUM(U51:U59)</f>
        <v>0</v>
      </c>
    </row>
    <row r="61" spans="1:21" ht="41.25" customHeight="1"/>
    <row r="62" spans="1:21" s="2" customFormat="1" ht="44.25" customHeight="1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"/>
    </row>
    <row r="63" spans="1:21" s="2" customFormat="1" ht="27" customHeight="1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4"/>
    </row>
    <row r="64" spans="1:21" ht="27" customHeight="1"/>
    <row r="65" spans="1:21" ht="27" customHeight="1"/>
    <row r="66" spans="1:21" ht="27" customHeight="1"/>
    <row r="67" spans="1:21" ht="27" customHeight="1"/>
    <row r="68" spans="1:21" ht="27" customHeight="1"/>
    <row r="69" spans="1:21" ht="27" customHeight="1"/>
    <row r="70" spans="1:21" ht="27" customHeight="1"/>
    <row r="71" spans="1:21" ht="27" customHeight="1"/>
    <row r="72" spans="1:21" ht="27" customHeight="1"/>
    <row r="73" spans="1:21" ht="27" customHeight="1"/>
    <row r="74" spans="1:21" ht="27" customHeight="1"/>
    <row r="75" spans="1:21" ht="27" customHeight="1"/>
    <row r="76" spans="1:21" ht="27" customHeight="1"/>
    <row r="77" spans="1:21" ht="36" customHeight="1">
      <c r="U77" s="16">
        <f t="shared" ref="U77" si="7">SUM(U70:U76)</f>
        <v>0</v>
      </c>
    </row>
    <row r="78" spans="1:21" ht="23.25" customHeight="1"/>
    <row r="79" spans="1:21" s="2" customFormat="1" ht="57" customHeight="1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</row>
    <row r="80" spans="1:21" ht="26.25" customHeight="1"/>
    <row r="81" spans="1:21" ht="26.25" customHeight="1"/>
    <row r="82" spans="1:21" ht="26.25" customHeight="1"/>
    <row r="83" spans="1:21" ht="26.25" customHeight="1"/>
    <row r="84" spans="1:21" ht="26.25" customHeight="1"/>
    <row r="85" spans="1:21" ht="26.25" customHeight="1"/>
    <row r="86" spans="1:21" ht="26.25" customHeight="1"/>
    <row r="87" spans="1:21" ht="26.25" customHeight="1"/>
    <row r="88" spans="1:21" ht="26.25" customHeight="1"/>
    <row r="89" spans="1:21" ht="26.25" customHeight="1"/>
    <row r="90" spans="1:21" ht="26.25" customHeight="1"/>
    <row r="91" spans="1:21" ht="26.25" customHeight="1"/>
    <row r="92" spans="1:21" ht="26.25" customHeight="1"/>
    <row r="93" spans="1:21" ht="26.25" customHeight="1"/>
    <row r="94" spans="1:21" ht="26.25" customHeight="1">
      <c r="U94" s="16">
        <f>SUM(U80:U90)</f>
        <v>0</v>
      </c>
    </row>
    <row r="95" spans="1:21" ht="23.25" customHeight="1"/>
    <row r="96" spans="1:21" s="2" customFormat="1" ht="57" customHeight="1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</row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spans="1:20" ht="23.25" customHeight="1"/>
    <row r="146" spans="1:20" ht="23.25" customHeight="1"/>
    <row r="147" spans="1:20" s="2" customFormat="1" ht="57" customHeight="1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</row>
    <row r="148" spans="1:20" ht="38.25" customHeight="1"/>
    <row r="149" spans="1:20" ht="38.25" customHeight="1"/>
    <row r="150" spans="1:20" ht="38.25" customHeight="1"/>
    <row r="151" spans="1:20" ht="38.25" customHeight="1"/>
    <row r="152" spans="1:20" ht="38.25" customHeight="1"/>
    <row r="153" spans="1:20" ht="38.25" customHeight="1"/>
    <row r="154" spans="1:20" ht="38.25" customHeight="1"/>
    <row r="155" spans="1:20" ht="38.25" customHeight="1"/>
    <row r="156" spans="1:20" ht="38.25" customHeight="1"/>
    <row r="157" spans="1:20" ht="38.25" customHeight="1"/>
    <row r="158" spans="1:20" ht="38.25" customHeight="1"/>
    <row r="159" spans="1:20" ht="38.25" customHeight="1"/>
    <row r="160" spans="1:20" ht="38.25" customHeight="1"/>
    <row r="161" ht="38.25" customHeight="1"/>
    <row r="162" ht="38.25" customHeight="1"/>
    <row r="163" ht="38.25" customHeight="1"/>
    <row r="164" ht="38.25" customHeight="1"/>
    <row r="165" ht="38.25" customHeight="1"/>
    <row r="166" ht="38.25" customHeight="1"/>
    <row r="167" ht="38.25" customHeight="1"/>
    <row r="168" ht="38.25" customHeight="1"/>
    <row r="169" ht="38.25" customHeight="1"/>
    <row r="170" ht="38.25" customHeight="1"/>
    <row r="171" ht="38.25" customHeight="1"/>
    <row r="172" ht="38.25" customHeight="1"/>
    <row r="173" ht="38.25" customHeight="1"/>
    <row r="174" ht="38.25" customHeight="1"/>
    <row r="175" ht="38.25" customHeight="1"/>
    <row r="176" ht="38.25" customHeight="1"/>
    <row r="177" spans="1:20" ht="38.25" customHeight="1"/>
    <row r="178" spans="1:20" ht="38.25" customHeight="1"/>
    <row r="179" spans="1:20" ht="38.25" customHeight="1"/>
    <row r="180" spans="1:20" ht="38.25" customHeight="1"/>
    <row r="181" spans="1:20" ht="38.25" customHeight="1"/>
    <row r="182" spans="1:20" ht="38.25" customHeight="1"/>
    <row r="183" spans="1:20" ht="38.25" customHeight="1"/>
    <row r="184" spans="1:20" ht="38.25" customHeight="1"/>
    <row r="185" spans="1:20" ht="38.25" customHeight="1"/>
    <row r="186" spans="1:20" ht="38.25" customHeight="1"/>
    <row r="187" spans="1:20" ht="39" customHeight="1"/>
    <row r="188" spans="1:20" ht="39" customHeight="1"/>
    <row r="189" spans="1:20" s="2" customFormat="1" ht="57" customHeight="1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</row>
    <row r="190" spans="1:20" ht="32.25" customHeight="1"/>
    <row r="191" spans="1:20" ht="32.25" customHeight="1"/>
    <row r="192" spans="1:20" ht="32.25" customHeight="1"/>
    <row r="193" ht="32.25" customHeight="1"/>
    <row r="194" ht="32.25" customHeight="1"/>
    <row r="195" ht="32.25" customHeight="1"/>
    <row r="196" ht="32.25" customHeight="1"/>
    <row r="197" ht="32.25" customHeight="1"/>
    <row r="198" ht="32.25" customHeight="1"/>
    <row r="199" ht="32.25" customHeight="1"/>
    <row r="200" ht="32.25" customHeight="1"/>
    <row r="201" ht="32.25" customHeight="1"/>
    <row r="202" ht="32.25" customHeight="1"/>
    <row r="203" ht="32.25" customHeight="1"/>
    <row r="204" ht="32.25" customHeight="1"/>
    <row r="205" ht="32.25" customHeight="1"/>
    <row r="206" ht="32.25" customHeight="1"/>
    <row r="207" ht="32.25" customHeight="1"/>
    <row r="208" ht="32.25" customHeight="1"/>
    <row r="209" ht="32.25" customHeight="1"/>
    <row r="210" ht="32.25" customHeight="1"/>
    <row r="211" ht="32.25" customHeight="1"/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spans="1:20" ht="32.25" customHeight="1"/>
    <row r="226" spans="1:20" ht="32.25" customHeight="1"/>
    <row r="227" spans="1:20" ht="32.25" customHeight="1"/>
    <row r="228" spans="1:20" ht="32.25" customHeight="1"/>
    <row r="229" spans="1:20" ht="32.25" customHeight="1"/>
    <row r="230" spans="1:20" ht="32.25" customHeight="1"/>
    <row r="231" spans="1:20" ht="32.25" customHeight="1"/>
    <row r="232" spans="1:20" ht="32.25" customHeight="1"/>
    <row r="233" spans="1:20" ht="17.25" customHeight="1"/>
    <row r="234" spans="1:20" s="2" customFormat="1" ht="57" customHeight="1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4"/>
    </row>
    <row r="235" spans="1:20" ht="23.25" customHeight="1"/>
    <row r="236" spans="1:20" ht="23.25" customHeight="1"/>
    <row r="237" spans="1:20" ht="23.25" customHeight="1"/>
    <row r="238" spans="1:20" ht="23.25" customHeight="1"/>
    <row r="239" spans="1:20" ht="23.25" customHeight="1"/>
    <row r="240" spans="1:2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3.25" customHeight="1"/>
    <row r="256" ht="23.25" customHeight="1"/>
    <row r="257" ht="23.2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3.25" customHeight="1"/>
    <row r="270" ht="23.25" customHeight="1"/>
    <row r="271" ht="23.25" customHeight="1"/>
    <row r="272" ht="23.25" customHeight="1"/>
    <row r="273" spans="1:20" ht="23.25" customHeight="1"/>
    <row r="274" spans="1:20" ht="23.25" customHeight="1"/>
    <row r="275" spans="1:20" ht="23.25" customHeight="1"/>
    <row r="276" spans="1:20" ht="23.25" customHeight="1"/>
    <row r="277" spans="1:20" ht="23.25" customHeight="1"/>
    <row r="278" spans="1:20" ht="23.25" customHeight="1"/>
    <row r="279" spans="1:20" ht="23.25" customHeight="1"/>
    <row r="280" spans="1:20" ht="23.25" customHeight="1"/>
    <row r="281" spans="1:20" ht="23.25" customHeight="1"/>
    <row r="282" spans="1:20" ht="23.25" customHeight="1"/>
    <row r="283" spans="1:20" ht="23.25" customHeight="1"/>
    <row r="284" spans="1:20" ht="12" customHeight="1"/>
    <row r="285" spans="1:20" s="2" customFormat="1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4"/>
    </row>
    <row r="286" spans="1:20" ht="25.5" customHeight="1"/>
    <row r="287" spans="1:20" ht="25.5" customHeight="1"/>
    <row r="288" spans="1:20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spans="1:20" ht="25.5" customHeight="1"/>
    <row r="322" spans="1:20" ht="25.5" customHeight="1"/>
    <row r="323" spans="1:20" ht="25.5" customHeight="1"/>
    <row r="324" spans="1:20" ht="25.5" customHeight="1"/>
    <row r="325" spans="1:20" ht="25.5" customHeight="1"/>
    <row r="326" spans="1:20" ht="25.5" customHeight="1"/>
    <row r="327" spans="1:20" ht="25.5" customHeight="1"/>
    <row r="328" spans="1:20" ht="25.5" customHeight="1"/>
    <row r="329" spans="1:20" ht="25.5" customHeight="1"/>
    <row r="330" spans="1:20" ht="25.5" customHeight="1"/>
    <row r="331" spans="1:20" ht="25.5" customHeight="1"/>
    <row r="332" spans="1:20" ht="39.75" customHeight="1"/>
    <row r="333" spans="1:20" ht="39.75" customHeight="1"/>
    <row r="334" spans="1:20" s="2" customFormat="1" ht="57" customHeight="1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4"/>
    </row>
    <row r="335" spans="1:20" ht="23.25" customHeight="1"/>
    <row r="336" spans="1:20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33.75" customHeight="1"/>
    <row r="380" ht="25.5" customHeight="1"/>
  </sheetData>
  <mergeCells count="3">
    <mergeCell ref="A3:A15"/>
    <mergeCell ref="A18:A29"/>
    <mergeCell ref="A32:A45"/>
  </mergeCells>
  <pageMargins left="0.118110236220472" right="0" top="0.55118110236220497" bottom="0.35433070866141703" header="0.31496062992126" footer="0.31496062992126"/>
  <pageSetup paperSize="14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eadq</cp:lastModifiedBy>
  <cp:lastPrinted>2025-12-02T06:32:35Z</cp:lastPrinted>
  <dcterms:created xsi:type="dcterms:W3CDTF">2025-08-12T06:23:00Z</dcterms:created>
  <dcterms:modified xsi:type="dcterms:W3CDTF">2026-05-22T08:37:29Z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ACCAA5F95233483D8B7EA677D10B1C9C_12</vt:lpwstr>
  </property>
  <property fmtid="{D5CDD505-2E9C-101B-9397-08002B2CF9AE}" pid="3" name="KSOProductBuildVer">
    <vt:lpwstr>1033-12.2.0.23131</vt:lpwstr>
  </property>
</Properties>
</file>